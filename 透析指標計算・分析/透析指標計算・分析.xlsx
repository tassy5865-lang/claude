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7"/>
  <workbookPr/>
  <mc:AlternateContent xmlns:mc="http://schemas.openxmlformats.org/markup-compatibility/2006">
    <mc:Choice Requires="x15">
      <x15ac:absPath xmlns:x15ac="http://schemas.microsoft.com/office/spreadsheetml/2010/11/ac" url="D:\"/>
    </mc:Choice>
  </mc:AlternateContent>
  <xr:revisionPtr revIDLastSave="2" documentId="13_ncr:1_{C903BF9B-AD03-4CF4-B88C-99DA534EF584}" xr6:coauthVersionLast="47" xr6:coauthVersionMax="47" xr10:uidLastSave="{68529AB9-20F8-5D44-827F-22F43E14421C}"/>
  <bookViews>
    <workbookView xWindow="-108" yWindow="-108" windowWidth="23256" windowHeight="12456" xr2:uid="{C1357782-A76B-4A31-A7B3-B0369F19AAA2}"/>
  </bookViews>
  <sheets>
    <sheet name="除水設定,循環動態管理" sheetId="1" r:id="rId1"/>
    <sheet name="透析効率,貧血管理" sheetId="2" r:id="rId2"/>
    <sheet name="PWI.Krグラフ" sheetId="3" r:id="rId3"/>
    <sheet name="心不全管理"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 l="1"/>
  <c r="A32" i="4"/>
  <c r="C24" i="4"/>
  <c r="E5" i="4"/>
  <c r="E2" i="4"/>
  <c r="E4" i="4"/>
  <c r="E3" i="4"/>
  <c r="A15" i="1"/>
  <c r="E2" i="3"/>
  <c r="I3" i="1"/>
  <c r="C29" i="2"/>
  <c r="F20" i="2"/>
  <c r="F19" i="2"/>
  <c r="J4" i="2"/>
  <c r="F18" i="2"/>
  <c r="J3" i="2"/>
  <c r="C27" i="2"/>
  <c r="J2" i="2"/>
  <c r="B4" i="2"/>
  <c r="B3" i="2"/>
  <c r="B2" i="2"/>
  <c r="F7" i="2"/>
  <c r="I8" i="1"/>
  <c r="F2" i="1"/>
  <c r="F5" i="1"/>
  <c r="I5" i="1"/>
  <c r="F6" i="1"/>
  <c r="F7" i="1"/>
  <c r="F3" i="1"/>
  <c r="F4" i="1"/>
  <c r="I2" i="1"/>
  <c r="I7" i="1"/>
  <c r="F8" i="1"/>
  <c r="F9" i="1"/>
  <c r="I4" i="1"/>
  <c r="C28" i="2"/>
  <c r="F3" i="2"/>
  <c r="C30" i="2"/>
  <c r="B9" i="2"/>
  <c r="F2" i="2"/>
  <c r="F4" i="2"/>
  <c r="F9" i="2"/>
  <c r="A16" i="2"/>
  <c r="A26" i="2"/>
  <c r="F8" i="2"/>
  <c r="A15" i="2"/>
  <c r="J1" i="2"/>
</calcChain>
</file>

<file path=xl/sharedStrings.xml><?xml version="1.0" encoding="utf-8"?>
<sst xmlns="http://schemas.openxmlformats.org/spreadsheetml/2006/main" count="199" uniqueCount="164">
  <si>
    <t>【基本情報】</t>
  </si>
  <si>
    <t>透析時間 (HD session)</t>
  </si>
  <si>
    <t>総除水量 (Total UFR)</t>
  </si>
  <si>
    <t>【体重データ】</t>
  </si>
  <si>
    <t>透析前 体重 (BW Pre)</t>
  </si>
  <si>
    <t>透析後 体重 (BW Post)</t>
  </si>
  <si>
    <t>【血液データ】</t>
  </si>
  <si>
    <t>透析前 TP (TP1)</t>
  </si>
  <si>
    <t>透析後 TP (TP2)</t>
  </si>
  <si>
    <t>透析前 Ht (Ht1)</t>
  </si>
  <si>
    <t>min</t>
  </si>
  <si>
    <t>ml</t>
    <phoneticPr fontId="1"/>
  </si>
  <si>
    <t>kg</t>
    <phoneticPr fontId="1"/>
  </si>
  <si>
    <t>g/dL</t>
  </si>
  <si>
    <t>%</t>
    <phoneticPr fontId="1"/>
  </si>
  <si>
    <t>除水量 (ΔBW)</t>
  </si>
  <si>
    <t>体重変化率</t>
  </si>
  <si>
    <t>TP濃縮率</t>
  </si>
  <si>
    <t>π1 (膠質浸透圧 前)</t>
  </si>
  <si>
    <t>π2 (膠質浸透圧 後)</t>
  </si>
  <si>
    <t>CPV1 (循環血漿量 前)</t>
  </si>
  <si>
    <t>CPV2 (循環血漿量 後)</t>
  </si>
  <si>
    <t>単純な体重差</t>
  </si>
  <si>
    <t>ΔBW / PreBW</t>
  </si>
  <si>
    <t>1 - (TP1/TP2)</t>
  </si>
  <si>
    <t>ml/min</t>
  </si>
  <si>
    <t>3次多項式で算出</t>
  </si>
  <si>
    <t>体重の7.7%×(1-Ht)</t>
  </si>
  <si>
    <t>CPV1 × (TP1/TP2)</t>
  </si>
  <si>
    <t>3次多項式で算出</t>
    <phoneticPr fontId="1"/>
  </si>
  <si>
    <t>PWI</t>
  </si>
  <si>
    <t>CPV Rate</t>
  </si>
  <si>
    <t>UFR</t>
  </si>
  <si>
    <t>ml/min/mmHg</t>
  </si>
  <si>
    <t>プラズマリフィル係数</t>
  </si>
  <si>
    <t>血漿量減少速度</t>
  </si>
  <si>
    <t>設定除水速度</t>
  </si>
  <si>
    <t xml:space="preserve">2≦ PWI ≦4 </t>
    <phoneticPr fontId="1"/>
  </si>
  <si>
    <t>透析前BUN (Co)</t>
  </si>
  <si>
    <t>透析後BUN (Ct)</t>
  </si>
  <si>
    <t>mg/dL</t>
  </si>
  <si>
    <t>URR (除去率)</t>
  </si>
  <si>
    <t>Kt/V (Daugirdas)</t>
  </si>
  <si>
    <t>【患者データ】</t>
  </si>
  <si>
    <t>透析時間 (t)</t>
  </si>
  <si>
    <t>透析後体重 (DW)</t>
  </si>
  <si>
    <t>実測 Kt/V</t>
  </si>
  <si>
    <t>【現在の機器設定】</t>
  </si>
  <si>
    <t>血流量 (Qb)</t>
  </si>
  <si>
    <t>透析液流量 (Qd)</t>
  </si>
  <si>
    <t>表面積 (Area)</t>
  </si>
  <si>
    <t>現在の KoA</t>
  </si>
  <si>
    <t>【シミュレーション設定】</t>
  </si>
  <si>
    <t>変更後の 血流量 (Qb)</t>
  </si>
  <si>
    <t>変更後の KoA</t>
  </si>
  <si>
    <t>min</t>
    <phoneticPr fontId="1"/>
  </si>
  <si>
    <t>ml/min</t>
    <phoneticPr fontId="1"/>
  </si>
  <si>
    <t>㎡</t>
    <phoneticPr fontId="1"/>
  </si>
  <si>
    <t>-</t>
    <phoneticPr fontId="1"/>
  </si>
  <si>
    <t>【現在のクリアランス分析】</t>
  </si>
  <si>
    <t>理論クリアランス (K)</t>
  </si>
  <si>
    <t>実測クリアランス (K)</t>
  </si>
  <si>
    <t>実効効率係数</t>
  </si>
  <si>
    <t>【シミュレーション結果予測】</t>
  </si>
  <si>
    <t>新・理論クリアランス</t>
  </si>
  <si>
    <t>新・実測予測クリアランス</t>
  </si>
  <si>
    <t>予測 Kt/V</t>
  </si>
  <si>
    <t>Michaels式による理論値(ml/min)</t>
    <phoneticPr fontId="1"/>
  </si>
  <si>
    <t>Kt/Vから逆算した実際のK</t>
    <phoneticPr fontId="1"/>
  </si>
  <si>
    <t>アクセス再循環等による効率低下率(通常0.8〜0.95)</t>
  </si>
  <si>
    <t>変更後の条件での理論K</t>
  </si>
  <si>
    <t>理論値に実効効率を掛けたリアルな予測K</t>
  </si>
  <si>
    <t>★最終予測値</t>
  </si>
  <si>
    <t>PWI</t>
    <phoneticPr fontId="1"/>
  </si>
  <si>
    <t>優先改善アクション</t>
  </si>
  <si>
    <t>除水リスク判定</t>
  </si>
  <si>
    <t>【貧血管理データ】</t>
  </si>
  <si>
    <t>ヘモグロビン (Hgb)</t>
  </si>
  <si>
    <t>ESA投与量/週</t>
  </si>
  <si>
    <t>【電解質データ】</t>
  </si>
  <si>
    <t>透析前 リン (P_pre)</t>
  </si>
  <si>
    <t>透析後 リン (P_post)</t>
  </si>
  <si>
    <t>透析前 カリウム (K_pre)</t>
  </si>
  <si>
    <t>透析後 カリウム (K_post)</t>
  </si>
  <si>
    <t>IU/week</t>
  </si>
  <si>
    <t>mEq/L</t>
  </si>
  <si>
    <t>【貧血・電解質 分析】</t>
  </si>
  <si>
    <t>ERI (ESA抵抗性指数)</t>
  </si>
  <si>
    <t>リン除去率 (PRR)</t>
  </si>
  <si>
    <t>カリウム除去率 (KRR)</t>
  </si>
  <si>
    <t>ESA投与量 ÷ 体重 ÷ Hgb。一般に10〜15以上はESA低反応性（透析不足や鉄欠乏を疑う）</t>
    <phoneticPr fontId="1"/>
  </si>
  <si>
    <t>%。通常50〜60%程度。Pはリバウンドが大きいためKt/Vと乖離しやすい</t>
    <phoneticPr fontId="1"/>
  </si>
  <si>
    <t>%。カリウムの抜け具合を可視化</t>
  </si>
  <si>
    <t>貧血管理アラート</t>
  </si>
  <si>
    <t>リン除去アラート</t>
  </si>
  <si>
    <t>mean Kr</t>
    <phoneticPr fontId="1"/>
  </si>
  <si>
    <t>UFR (除水速度)</t>
    <phoneticPr fontId="1"/>
  </si>
  <si>
    <t>CL</t>
    <phoneticPr fontId="1"/>
  </si>
  <si>
    <t>変更後の 透析時間 (t)</t>
    <phoneticPr fontId="1"/>
  </si>
  <si>
    <t>変更後の 膜面積</t>
  </si>
  <si>
    <t>㎡</t>
  </si>
  <si>
    <t xml:space="preserve">1≦ Kr ≦4 </t>
    <phoneticPr fontId="1"/>
  </si>
  <si>
    <t>日付</t>
  </si>
  <si>
    <t>mean Kr</t>
  </si>
  <si>
    <t>左室駆出率 (LVEF)</t>
  </si>
  <si>
    <t>判定結果</t>
  </si>
  <si>
    <t>分類の正式名称</t>
  </si>
  <si>
    <t>推奨治療薬の概要</t>
  </si>
  <si>
    <t>%</t>
  </si>
  <si>
    <t>HFrEF: 心筋の収縮力が低下。薬物療法の効果が最も高い。</t>
  </si>
  <si>
    <t>HFmrEF: HFrEFからの改善(HFrecEF)やHFpEFからの悪化が混在。</t>
  </si>
  <si>
    <t>HFpEF: 拡張不全が主体。高齢者や女性、高血圧合併例に多い。</t>
  </si>
  <si>
    <t>LVDd (mm)</t>
  </si>
  <si>
    <t>収縮能評価</t>
  </si>
  <si>
    <t>mm</t>
  </si>
  <si>
    <t>基本計測とEF分類</t>
  </si>
  <si>
    <t>壁運動スコアリング (WMSI)</t>
  </si>
  <si>
    <t>WMSI (平均スコア)</t>
  </si>
  <si>
    <t>LAD</t>
  </si>
  <si>
    <t>RCA</t>
  </si>
  <si>
    <t>LCX</t>
  </si>
  <si>
    <t>平均</t>
    <rPh sb="0" eb="2">
      <t>ヘイキン</t>
    </rPh>
    <phoneticPr fontId="1"/>
  </si>
  <si>
    <t>Basal Anterior(基部前壁)</t>
    <phoneticPr fontId="1"/>
  </si>
  <si>
    <t>Basal Ant-Sept(基部前壁中隔)</t>
    <phoneticPr fontId="1"/>
  </si>
  <si>
    <t>Mid Anterior(中部前壁)</t>
    <phoneticPr fontId="1"/>
  </si>
  <si>
    <t>Mid Ant-Sept(中部前壁中隔)</t>
    <phoneticPr fontId="1"/>
  </si>
  <si>
    <t>Apical Anterior(心尖部前壁)</t>
    <phoneticPr fontId="1"/>
  </si>
  <si>
    <t>Apical Septal(心尖部中隔)</t>
    <phoneticPr fontId="1"/>
  </si>
  <si>
    <t>Basal Inferior(基部下壁)</t>
    <phoneticPr fontId="1"/>
  </si>
  <si>
    <t>Basal Inf-Sept (基部下壁中隔)</t>
    <phoneticPr fontId="1"/>
  </si>
  <si>
    <t>Mid Inferior(中部下壁)</t>
    <phoneticPr fontId="1"/>
  </si>
  <si>
    <t>Mid Inf-Sept (中部下壁中隔)</t>
    <phoneticPr fontId="1"/>
  </si>
  <si>
    <t>Apical Inferior(心尖部下壁)</t>
    <phoneticPr fontId="1"/>
  </si>
  <si>
    <t>Basal Inf-Lat(基部下壁側壁)</t>
    <phoneticPr fontId="1"/>
  </si>
  <si>
    <t>Basal Ant-Lat(基部前壁側壁)</t>
    <phoneticPr fontId="1"/>
  </si>
  <si>
    <t>Mid Inf-Lat (中部下壁側壁)</t>
    <phoneticPr fontId="1"/>
  </si>
  <si>
    <t>Mid Ant-Lat(中部前壁側壁)</t>
    <phoneticPr fontId="1"/>
  </si>
  <si>
    <t>Apical Lateral(心尖部側壁)</t>
    <phoneticPr fontId="1"/>
  </si>
  <si>
    <t>領域</t>
  </si>
  <si>
    <t>1点</t>
  </si>
  <si>
    <t>心内膜の拍動と壁の肥厚化が正常（&gt;30%以上）</t>
    <phoneticPr fontId="1"/>
  </si>
  <si>
    <t>心内膜の拍動が減弱、壁の肥厚化が不十分（&lt;30%）</t>
  </si>
  <si>
    <t>4点</t>
  </si>
  <si>
    <t>心内膜の拍動および壁の肥厚化がほぼ消失</t>
  </si>
  <si>
    <t>収縮期に逆に外側に膨らむ（動脈瘤的変化）</t>
  </si>
  <si>
    <t>Normal (正常)</t>
    <phoneticPr fontId="1"/>
  </si>
  <si>
    <t>Hypokinesis (低下)</t>
    <phoneticPr fontId="1"/>
  </si>
  <si>
    <t>Akinesis (消失)</t>
    <phoneticPr fontId="1"/>
  </si>
  <si>
    <t>Dyskinesis (奇異性)</t>
    <phoneticPr fontId="1"/>
  </si>
  <si>
    <t>2点</t>
  </si>
  <si>
    <t>3点</t>
  </si>
  <si>
    <t>弁膜症評価</t>
  </si>
  <si>
    <t>MR (僧帽弁逆流)</t>
  </si>
  <si>
    <t>AR (大動脈弁逆流)</t>
  </si>
  <si>
    <t>AS (大動脈弁狭窄)</t>
  </si>
  <si>
    <t>TR (三尖弁逆流)</t>
  </si>
  <si>
    <t xml:space="preserve">スコア </t>
    <phoneticPr fontId="1"/>
  </si>
  <si>
    <t>分類</t>
    <rPh sb="0" eb="2">
      <t>ブンルイ</t>
    </rPh>
    <phoneticPr fontId="1"/>
  </si>
  <si>
    <t>None</t>
    <phoneticPr fontId="1"/>
  </si>
  <si>
    <t>Mild</t>
    <phoneticPr fontId="1"/>
  </si>
  <si>
    <t>Trivial</t>
    <phoneticPr fontId="1"/>
  </si>
  <si>
    <t>Moderate</t>
    <phoneticPr fontId="1"/>
  </si>
  <si>
    <t>Severe</t>
    <phoneticPr fontId="1"/>
  </si>
  <si>
    <t>評価</t>
    <rPh sb="0" eb="2">
      <t>ヒョウカ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</si>
</sst>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_ "/>
    <numFmt numFmtId="177" formatCode="#,##0.0_ "/>
    <numFmt numFmtId="178" formatCode="#,##0.0_);[Red]\(#,##0.0\)"/>
    <numFmt numFmtId="179" formatCode="0.00_ "/>
    <numFmt numFmtId="180" formatCode="0.0_ "/>
    <numFmt numFmtId="181" formatCode="0_ "/>
  </numFmts>
  <fonts count="6" x14ac:knownFonts="1">
    <font>
      <sz val="11"/>
      <color theme="1"/>
      <name val="游ゴシック"/>
      <family val="2"/>
      <charset val="128"/>
      <scheme val="minor"/>
    </font>
    <font>
      <sz val="6"/>
      <name val="游ゴシック"/>
      <family val="2"/>
      <charset val="128"/>
      <scheme val="minor"/>
    </font>
    <font>
      <strike/>
      <sz val="11"/>
      <color theme="1"/>
      <name val="游ゴシック"/>
      <family val="2"/>
      <charset val="128"/>
      <scheme val="minor"/>
    </font>
    <font>
      <b/>
      <sz val="11"/>
      <color theme="1"/>
      <name val="游ゴシック"/>
      <family val="3"/>
      <charset val="128"/>
      <scheme val="minor"/>
    </font>
    <font>
      <sz val="10"/>
      <color theme="1"/>
      <name val="Arial Unicode MS"/>
      <family val="2"/>
    </font>
    <font>
      <sz val="8"/>
      <color theme="1"/>
      <name val="游ゴシック"/>
      <family val="2"/>
      <charset val="128"/>
      <scheme val="minor"/>
    </font>
  </fonts>
  <fills count="7">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9"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62">
    <xf numFmtId="0" fontId="0" fillId="0" borderId="0" xfId="0">
      <alignment vertical="center"/>
    </xf>
    <xf numFmtId="0" fontId="0" fillId="0" borderId="0" xfId="0" applyAlignment="1">
      <alignment vertical="center" wrapText="1"/>
    </xf>
    <xf numFmtId="0" fontId="0" fillId="0" borderId="1" xfId="0" applyBorder="1">
      <alignment vertical="center"/>
    </xf>
    <xf numFmtId="177" fontId="0" fillId="0" borderId="1" xfId="0" applyNumberFormat="1" applyBorder="1">
      <alignment vertical="center"/>
    </xf>
    <xf numFmtId="176" fontId="0" fillId="0" borderId="1" xfId="0" applyNumberFormat="1" applyBorder="1">
      <alignment vertical="center"/>
    </xf>
    <xf numFmtId="178" fontId="0" fillId="0" borderId="1" xfId="0" applyNumberFormat="1" applyBorder="1">
      <alignmen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1" xfId="0" applyFont="1" applyBorder="1">
      <alignment vertical="center"/>
    </xf>
    <xf numFmtId="0" fontId="0" fillId="2" borderId="1" xfId="0" applyFill="1" applyBorder="1">
      <alignment vertical="center"/>
    </xf>
    <xf numFmtId="0" fontId="0" fillId="3" borderId="1" xfId="0" applyFill="1" applyBorder="1">
      <alignment vertical="center"/>
    </xf>
    <xf numFmtId="0" fontId="0" fillId="4" borderId="1" xfId="0" applyFill="1" applyBorder="1">
      <alignment vertical="center"/>
    </xf>
    <xf numFmtId="0" fontId="0" fillId="5" borderId="1" xfId="0" applyFill="1" applyBorder="1">
      <alignment vertical="center"/>
    </xf>
    <xf numFmtId="179" fontId="0" fillId="0" borderId="1" xfId="0" applyNumberFormat="1" applyBorder="1">
      <alignment vertical="center"/>
    </xf>
    <xf numFmtId="0" fontId="0" fillId="6" borderId="1" xfId="0" applyFill="1" applyBorder="1">
      <alignment vertical="center"/>
    </xf>
    <xf numFmtId="0" fontId="0" fillId="0" borderId="2" xfId="0" applyBorder="1" applyAlignment="1">
      <alignment horizontal="center" vertical="center"/>
    </xf>
    <xf numFmtId="0" fontId="0" fillId="0" borderId="3" xfId="0" applyBorder="1">
      <alignment vertical="center"/>
    </xf>
    <xf numFmtId="0" fontId="0" fillId="0" borderId="4" xfId="0" applyBorder="1">
      <alignment vertical="center"/>
    </xf>
    <xf numFmtId="0" fontId="0" fillId="0" borderId="5" xfId="0" applyBorder="1" applyAlignment="1">
      <alignment horizontal="center" vertical="center"/>
    </xf>
    <xf numFmtId="0" fontId="0" fillId="0" borderId="6" xfId="0" applyBorder="1">
      <alignment vertical="center"/>
    </xf>
    <xf numFmtId="0" fontId="0" fillId="0" borderId="7" xfId="0" applyBorder="1" applyAlignment="1">
      <alignment horizontal="center" vertical="center"/>
    </xf>
    <xf numFmtId="0" fontId="0" fillId="0" borderId="8" xfId="0" applyBorder="1">
      <alignment vertical="center"/>
    </xf>
    <xf numFmtId="0" fontId="0" fillId="0" borderId="9" xfId="0" applyBorder="1">
      <alignment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2" xfId="0" applyBorder="1">
      <alignment vertical="center"/>
    </xf>
    <xf numFmtId="0" fontId="0" fillId="0" borderId="5" xfId="0" applyBorder="1">
      <alignment vertical="center"/>
    </xf>
    <xf numFmtId="0" fontId="0" fillId="0" borderId="7" xfId="0" applyBorder="1">
      <alignment vertical="center"/>
    </xf>
    <xf numFmtId="180" fontId="0" fillId="0" borderId="1" xfId="0" applyNumberFormat="1" applyBorder="1">
      <alignment vertical="center"/>
    </xf>
    <xf numFmtId="180" fontId="0" fillId="0" borderId="8" xfId="0" applyNumberFormat="1" applyBorder="1">
      <alignment vertical="center"/>
    </xf>
    <xf numFmtId="180" fontId="0" fillId="0" borderId="0" xfId="0" applyNumberFormat="1">
      <alignment vertical="center"/>
    </xf>
    <xf numFmtId="0" fontId="0" fillId="0" borderId="8" xfId="0" applyBorder="1" applyAlignment="1">
      <alignment horizontal="center" vertical="center"/>
    </xf>
    <xf numFmtId="0" fontId="4" fillId="0" borderId="1" xfId="0" applyFont="1" applyBorder="1">
      <alignment vertical="center"/>
    </xf>
    <xf numFmtId="0" fontId="4" fillId="0" borderId="6" xfId="0" applyFont="1" applyBorder="1">
      <alignment vertical="center"/>
    </xf>
    <xf numFmtId="180" fontId="4" fillId="0" borderId="6" xfId="0" applyNumberFormat="1" applyFont="1" applyBorder="1">
      <alignment vertical="center"/>
    </xf>
    <xf numFmtId="180" fontId="4" fillId="0" borderId="9" xfId="0" applyNumberFormat="1" applyFont="1" applyBorder="1">
      <alignment vertical="center"/>
    </xf>
    <xf numFmtId="181" fontId="0" fillId="0" borderId="0" xfId="0" applyNumberFormat="1">
      <alignment vertical="center"/>
    </xf>
    <xf numFmtId="181" fontId="0" fillId="0" borderId="1" xfId="0" applyNumberFormat="1" applyBorder="1">
      <alignment vertical="center"/>
    </xf>
    <xf numFmtId="179" fontId="0" fillId="0" borderId="8" xfId="0" applyNumberFormat="1" applyBorder="1">
      <alignment vertical="center"/>
    </xf>
    <xf numFmtId="0" fontId="0" fillId="0" borderId="0" xfId="0" applyAlignment="1">
      <alignment horizontal="center" vertical="center"/>
    </xf>
    <xf numFmtId="0" fontId="5" fillId="0" borderId="0" xfId="0" applyFont="1" applyAlignment="1">
      <alignment horizontal="center" vertical="center"/>
    </xf>
    <xf numFmtId="0" fontId="0" fillId="0" borderId="14" xfId="0" applyFill="1" applyBorder="1">
      <alignment vertical="center"/>
    </xf>
    <xf numFmtId="0" fontId="0" fillId="0" borderId="0" xfId="0" applyBorder="1">
      <alignment vertical="center"/>
    </xf>
    <xf numFmtId="0" fontId="0" fillId="0" borderId="0"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4" fontId="0" fillId="0" borderId="18" xfId="0" applyNumberFormat="1" applyBorder="1">
      <alignment vertical="center"/>
    </xf>
    <xf numFmtId="180" fontId="0" fillId="0" borderId="19" xfId="0" applyNumberFormat="1" applyBorder="1">
      <alignment vertical="center"/>
    </xf>
    <xf numFmtId="180" fontId="0" fillId="0" borderId="19" xfId="0" applyNumberFormat="1" applyBorder="1" applyAlignment="1">
      <alignment vertical="center"/>
    </xf>
    <xf numFmtId="0" fontId="0" fillId="0" borderId="12" xfId="0" applyBorder="1">
      <alignment vertical="center"/>
    </xf>
    <xf numFmtId="0" fontId="0" fillId="0" borderId="15" xfId="0" applyBorder="1">
      <alignment vertical="center"/>
    </xf>
    <xf numFmtId="0" fontId="0" fillId="0" borderId="1" xfId="0" applyBorder="1" applyAlignment="1">
      <alignment vertical="center" wrapText="1"/>
    </xf>
    <xf numFmtId="0" fontId="3" fillId="0" borderId="1" xfId="0" applyFont="1" applyBorder="1" applyAlignment="1">
      <alignment horizontal="center" vertical="center"/>
    </xf>
    <xf numFmtId="0" fontId="0" fillId="0" borderId="1" xfId="0"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1">
    <cellStyle name="標準" xfId="0" builtinId="0"/>
  </cellStyles>
  <dxfs count="15">
    <dxf>
      <font>
        <b/>
        <i val="0"/>
        <color theme="0"/>
      </font>
      <fill>
        <patternFill patternType="solid">
          <bgColor rgb="FFC00000"/>
        </patternFill>
      </fill>
    </dxf>
    <dxf>
      <font>
        <b/>
        <i val="0"/>
        <color theme="0"/>
      </font>
      <fill>
        <patternFill patternType="solid">
          <bgColor rgb="FFFFC000"/>
        </patternFill>
      </fill>
    </dxf>
    <dxf>
      <font>
        <b/>
        <i val="0"/>
        <color theme="0"/>
      </font>
      <fill>
        <patternFill patternType="solid">
          <bgColor theme="9"/>
        </patternFill>
      </fill>
    </dxf>
    <dxf>
      <numFmt numFmtId="180" formatCode="0.0_ "/>
      <border diagonalUp="0" diagonalDown="0">
        <left style="thin">
          <color indexed="64"/>
        </left>
        <right/>
        <top style="thin">
          <color indexed="64"/>
        </top>
        <bottom/>
        <vertical/>
        <horizontal/>
      </border>
    </dxf>
    <dxf>
      <numFmt numFmtId="19" formatCode="yyyy/m/d"/>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80" formatCode="0.0_ "/>
      <border diagonalUp="0" diagonalDown="0">
        <left style="thin">
          <color indexed="64"/>
        </left>
        <right/>
        <top style="thin">
          <color indexed="64"/>
        </top>
        <bottom/>
        <vertical/>
        <horizontal/>
      </border>
    </dxf>
    <dxf>
      <numFmt numFmtId="19" formatCode="yyyy/m/d"/>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PWI </a:t>
            </a:r>
            <a:r>
              <a:rPr lang="ja-JP"/>
              <a:t>の推移グラフ</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ja-JP"/>
        </a:p>
      </c:txPr>
    </c:title>
    <c:autoTitleDeleted val="0"/>
    <c:plotArea>
      <c:layout/>
      <c:lineChart>
        <c:grouping val="stacked"/>
        <c:varyColors val="0"/>
        <c:ser>
          <c:idx val="0"/>
          <c:order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PWI.Krグラフ!$A$2:$A$3</c:f>
              <c:numCache>
                <c:formatCode>m/d/yy</c:formatCode>
                <c:ptCount val="2"/>
                <c:pt idx="0">
                  <c:v>46071</c:v>
                </c:pt>
                <c:pt idx="1">
                  <c:v>46099</c:v>
                </c:pt>
              </c:numCache>
            </c:numRef>
          </c:cat>
          <c:val>
            <c:numRef>
              <c:f>PWI.Krグラフ!$B$2:$B$3</c:f>
              <c:numCache>
                <c:formatCode>0.0_ </c:formatCode>
                <c:ptCount val="2"/>
                <c:pt idx="0">
                  <c:v>3.8</c:v>
                </c:pt>
                <c:pt idx="1">
                  <c:v>2</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826D-40C9-AEC0-BA1940924E27}"/>
            </c:ext>
          </c:extLst>
        </c:ser>
        <c:dLbls>
          <c:dLblPos val="t"/>
          <c:showLegendKey val="0"/>
          <c:showVal val="1"/>
          <c:showCatName val="0"/>
          <c:showSerName val="0"/>
          <c:showPercent val="0"/>
          <c:showBubbleSize val="0"/>
        </c:dLbls>
        <c:marker val="1"/>
        <c:smooth val="0"/>
        <c:axId val="1398410288"/>
        <c:axId val="1398408368"/>
      </c:lineChart>
      <c:catAx>
        <c:axId val="1398410288"/>
        <c:scaling>
          <c:orientation val="minMax"/>
          <c:max val="2"/>
          <c:min val="1"/>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1398408368"/>
        <c:crosses val="autoZero"/>
        <c:auto val="0"/>
        <c:lblAlgn val="ctr"/>
        <c:lblOffset val="100"/>
        <c:noMultiLvlLbl val="0"/>
      </c:catAx>
      <c:valAx>
        <c:axId val="1398408368"/>
        <c:scaling>
          <c:orientation val="minMax"/>
          <c:max val="6"/>
        </c:scaling>
        <c:delete val="0"/>
        <c:axPos val="l"/>
        <c:numFmt formatCode="0.0_ "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984102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ltLang="ja-JP"/>
              <a:t>mean</a:t>
            </a:r>
            <a:r>
              <a:rPr lang="en-US"/>
              <a:t> Kr</a:t>
            </a:r>
            <a:r>
              <a:rPr lang="ja-JP" altLang="ja-JP" sz="1400" b="1" i="0" u="none" strike="noStrike" kern="1200" cap="all" spc="120" normalizeH="0" baseline="0">
                <a:solidFill>
                  <a:sysClr val="windowText" lastClr="000000">
                    <a:lumMod val="65000"/>
                    <a:lumOff val="35000"/>
                  </a:sysClr>
                </a:solidFill>
              </a:rPr>
              <a:t>の推移グラフ</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PWI.Krグラフ!$E$1</c:f>
              <c:strCache>
                <c:ptCount val="1"/>
                <c:pt idx="0">
                  <c:v>mean Kr</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PWI.Krグラフ!$D$2</c:f>
              <c:numCache>
                <c:formatCode>m/d/yy</c:formatCode>
                <c:ptCount val="1"/>
                <c:pt idx="0">
                  <c:v>46099</c:v>
                </c:pt>
              </c:numCache>
            </c:numRef>
          </c:cat>
          <c:val>
            <c:numRef>
              <c:f>PWI.Krグラフ!$E$2</c:f>
              <c:numCache>
                <c:formatCode>0.0_ </c:formatCode>
                <c:ptCount val="1"/>
                <c:pt idx="0">
                  <c:v>5.0693214345338395</c:v>
                </c:pt>
              </c:numCache>
            </c:numRef>
          </c:val>
          <c:smooth val="0"/>
          <c:extLst>
            <c:ext xmlns:c16="http://schemas.microsoft.com/office/drawing/2014/chart" uri="{C3380CC4-5D6E-409C-BE32-E72D297353CC}">
              <c16:uniqueId val="{00000000-A61F-49F4-813E-C0C5C65EE72E}"/>
            </c:ext>
          </c:extLst>
        </c:ser>
        <c:dLbls>
          <c:dLblPos val="t"/>
          <c:showLegendKey val="0"/>
          <c:showVal val="1"/>
          <c:showCatName val="0"/>
          <c:showSerName val="0"/>
          <c:showPercent val="0"/>
          <c:showBubbleSize val="0"/>
        </c:dLbls>
        <c:marker val="1"/>
        <c:smooth val="0"/>
        <c:axId val="1621343200"/>
        <c:axId val="1621367680"/>
      </c:lineChart>
      <c:catAx>
        <c:axId val="1621343200"/>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1621367680"/>
        <c:crosses val="autoZero"/>
        <c:auto val="0"/>
        <c:lblAlgn val="ctr"/>
        <c:lblOffset val="100"/>
        <c:noMultiLvlLbl val="0"/>
      </c:catAx>
      <c:valAx>
        <c:axId val="1621367680"/>
        <c:scaling>
          <c:orientation val="minMax"/>
          <c:max val="6"/>
          <c:min val="0"/>
        </c:scaling>
        <c:delete val="0"/>
        <c:axPos val="l"/>
        <c:numFmt formatCode="0.0_ "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213432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186690</xdr:colOff>
      <xdr:row>0</xdr:row>
      <xdr:rowOff>38100</xdr:rowOff>
    </xdr:from>
    <xdr:to>
      <xdr:col>12</xdr:col>
      <xdr:colOff>64770</xdr:colOff>
      <xdr:row>12</xdr:row>
      <xdr:rowOff>38100</xdr:rowOff>
    </xdr:to>
    <xdr:graphicFrame macro="">
      <xdr:nvGraphicFramePr>
        <xdr:cNvPr id="7" name="グラフ 6">
          <a:extLst>
            <a:ext uri="{FF2B5EF4-FFF2-40B4-BE49-F238E27FC236}">
              <a16:creationId xmlns:a16="http://schemas.microsoft.com/office/drawing/2014/main" id="{C98202F5-D431-CFDF-A655-1F722F71E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247650</xdr:colOff>
      <xdr:row>0</xdr:row>
      <xdr:rowOff>91440</xdr:rowOff>
    </xdr:from>
    <xdr:to>
      <xdr:col>19</xdr:col>
      <xdr:colOff>125730</xdr:colOff>
      <xdr:row>12</xdr:row>
      <xdr:rowOff>91440</xdr:rowOff>
    </xdr:to>
    <xdr:graphicFrame macro="">
      <xdr:nvGraphicFramePr>
        <xdr:cNvPr id="8" name="グラフ 7">
          <a:extLst>
            <a:ext uri="{FF2B5EF4-FFF2-40B4-BE49-F238E27FC236}">
              <a16:creationId xmlns:a16="http://schemas.microsoft.com/office/drawing/2014/main" id="{2FC0DE5C-7419-D243-D7C7-0126E46DD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9B6AA5-1A49-446F-8CE1-6C4556303445}" name="テーブル3" displayName="テーブル3" ref="A1:B3" totalsRowShown="0" headerRowDxfId="14" headerRowBorderDxfId="13" tableBorderDxfId="12" totalsRowBorderDxfId="11">
  <autoFilter ref="A1:B3" xr:uid="{389B6AA5-1A49-446F-8CE1-6C4556303445}"/>
  <tableColumns count="2">
    <tableColumn id="1" xr3:uid="{8AFD4823-7B19-4BAC-879D-F8292AB967C8}" name="日付" dataDxfId="10"/>
    <tableColumn id="2" xr3:uid="{19BC06A9-8687-408F-90BC-B1835D88AFF9}" name="PWI"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ACE19C-30DD-4DD3-8032-AF2102A5D862}" name="テーブル4" displayName="テーブル4" ref="D1:E2" totalsRowShown="0" headerRowDxfId="8" headerRowBorderDxfId="7" tableBorderDxfId="6" totalsRowBorderDxfId="5">
  <autoFilter ref="D1:E2" xr:uid="{65ACE19C-30DD-4DD3-8032-AF2102A5D862}"/>
  <tableColumns count="2">
    <tableColumn id="1" xr3:uid="{5839149A-901A-49E2-B4A6-6984D37B0B10}" name="日付" dataDxfId="4"/>
    <tableColumn id="2" xr3:uid="{546F006C-234F-4FEC-91A3-6F108298B480}" name="mean Kr" dataDxfId="3">
      <calculatedColumnFormula>'除水設定,循環動態管理'!I3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D323-C703-473C-988E-FA037890AFB1}">
  <dimension ref="A1:L20"/>
  <sheetViews>
    <sheetView tabSelected="1" workbookViewId="0">
      <selection activeCell="A13" sqref="A13"/>
    </sheetView>
  </sheetViews>
  <sheetFormatPr defaultRowHeight="14.25" x14ac:dyDescent="0.2"/>
  <cols>
    <col min="1" max="1" width="20.71484375" bestFit="1" customWidth="1"/>
    <col min="5" max="5" width="19.98046875" bestFit="1" customWidth="1"/>
    <col min="7" max="7" width="18.38671875" bestFit="1" customWidth="1"/>
    <col min="8" max="8" width="16.05859375" bestFit="1" customWidth="1"/>
    <col min="9" max="9" width="7.84375" bestFit="1" customWidth="1"/>
    <col min="10" max="10" width="14.21875" bestFit="1" customWidth="1"/>
    <col min="11" max="12" width="19.98046875" bestFit="1" customWidth="1"/>
  </cols>
  <sheetData>
    <row r="1" spans="1:12" x14ac:dyDescent="0.2">
      <c r="A1" s="8" t="s">
        <v>0</v>
      </c>
    </row>
    <row r="2" spans="1:12" x14ac:dyDescent="0.2">
      <c r="A2" s="11" t="s">
        <v>1</v>
      </c>
      <c r="B2" s="2">
        <v>240</v>
      </c>
      <c r="C2" s="6" t="s">
        <v>10</v>
      </c>
      <c r="E2" s="2" t="s">
        <v>15</v>
      </c>
      <c r="F2" s="3">
        <f>B5-B6</f>
        <v>3.8999999999999915</v>
      </c>
      <c r="G2" s="2" t="s">
        <v>22</v>
      </c>
      <c r="H2" s="2" t="s">
        <v>30</v>
      </c>
      <c r="I2" s="5">
        <f>IF(F3=0, 0, F4/F3)</f>
        <v>2.0256410256410291</v>
      </c>
      <c r="J2" s="6" t="s">
        <v>58</v>
      </c>
      <c r="K2" s="2" t="s">
        <v>37</v>
      </c>
    </row>
    <row r="3" spans="1:12" x14ac:dyDescent="0.2">
      <c r="A3" s="11" t="s">
        <v>2</v>
      </c>
      <c r="B3" s="2">
        <v>3800</v>
      </c>
      <c r="C3" s="6" t="s">
        <v>11</v>
      </c>
      <c r="E3" s="2" t="s">
        <v>16</v>
      </c>
      <c r="F3" s="4">
        <f>IF(B5=0, 0, F2/B5)</f>
        <v>3.5262206148282023E-2</v>
      </c>
      <c r="G3" s="2" t="s">
        <v>23</v>
      </c>
      <c r="H3" s="2" t="s">
        <v>95</v>
      </c>
      <c r="I3" s="5">
        <f>IF((F7-F6)=0, 0, (F5-I4)/(F7-F6))</f>
        <v>5.0693214345338395</v>
      </c>
      <c r="J3" s="2" t="s">
        <v>33</v>
      </c>
      <c r="K3" s="41" t="s">
        <v>101</v>
      </c>
      <c r="L3" s="2" t="s">
        <v>34</v>
      </c>
    </row>
    <row r="4" spans="1:12" x14ac:dyDescent="0.2">
      <c r="A4" s="8" t="s">
        <v>3</v>
      </c>
      <c r="B4" s="2"/>
      <c r="C4" s="6"/>
      <c r="E4" s="2" t="s">
        <v>17</v>
      </c>
      <c r="F4" s="3">
        <f>IF(B9=0, 0, 1-(B8/B9))</f>
        <v>7.1428571428571397E-2</v>
      </c>
      <c r="G4" s="2" t="s">
        <v>24</v>
      </c>
      <c r="H4" s="2" t="s">
        <v>31</v>
      </c>
      <c r="I4" s="5">
        <f>(F8-F9)/B2</f>
        <v>1.9161449999999982</v>
      </c>
      <c r="J4" s="2" t="s">
        <v>25</v>
      </c>
      <c r="K4" s="2" t="s">
        <v>35</v>
      </c>
    </row>
    <row r="5" spans="1:12" x14ac:dyDescent="0.2">
      <c r="A5" s="12" t="s">
        <v>4</v>
      </c>
      <c r="B5" s="2">
        <v>110.6</v>
      </c>
      <c r="C5" s="6" t="s">
        <v>12</v>
      </c>
      <c r="E5" s="2" t="s">
        <v>96</v>
      </c>
      <c r="F5" s="3">
        <f>IF(B2=0, 0, B3/B2)</f>
        <v>15.833333333333334</v>
      </c>
      <c r="G5" s="2" t="s">
        <v>25</v>
      </c>
      <c r="H5" s="2" t="s">
        <v>32</v>
      </c>
      <c r="I5" s="5">
        <f>F5</f>
        <v>15.833333333333334</v>
      </c>
      <c r="J5" s="2" t="s">
        <v>25</v>
      </c>
      <c r="K5" s="2" t="s">
        <v>36</v>
      </c>
    </row>
    <row r="6" spans="1:12" x14ac:dyDescent="0.2">
      <c r="A6" s="12" t="s">
        <v>5</v>
      </c>
      <c r="B6" s="2">
        <v>106.7</v>
      </c>
      <c r="C6" s="6" t="s">
        <v>12</v>
      </c>
      <c r="E6" s="2" t="s">
        <v>18</v>
      </c>
      <c r="F6" s="3">
        <f>2.1*B8 + 0.16*(B8^2) + 0.009*(B8^3)</f>
        <v>22.881625</v>
      </c>
      <c r="G6" s="2" t="s">
        <v>26</v>
      </c>
    </row>
    <row r="7" spans="1:12" x14ac:dyDescent="0.2">
      <c r="A7" s="8" t="s">
        <v>6</v>
      </c>
      <c r="B7" s="2"/>
      <c r="C7" s="6"/>
      <c r="E7" s="2" t="s">
        <v>19</v>
      </c>
      <c r="F7" s="3">
        <f>2.1*B9 + 0.16*(B9^2) + 0.009*(B9^3)</f>
        <v>25.626999999999999</v>
      </c>
      <c r="G7" s="2" t="s">
        <v>29</v>
      </c>
      <c r="H7" s="2" t="s">
        <v>41</v>
      </c>
      <c r="I7" s="28">
        <f>((B11-B12)/B11)*100</f>
        <v>53.85906040268457</v>
      </c>
    </row>
    <row r="8" spans="1:12" x14ac:dyDescent="0.2">
      <c r="A8" s="9" t="s">
        <v>7</v>
      </c>
      <c r="B8" s="2">
        <v>6.5</v>
      </c>
      <c r="C8" s="6" t="s">
        <v>13</v>
      </c>
      <c r="E8" s="2" t="s">
        <v>20</v>
      </c>
      <c r="F8" s="3">
        <f>0.077 * B5 * 1000 * (1 - B10/100)</f>
        <v>6438.2471999999989</v>
      </c>
      <c r="G8" s="2" t="s">
        <v>27</v>
      </c>
      <c r="H8" s="2" t="s">
        <v>42</v>
      </c>
      <c r="I8" s="13">
        <f>-LN(B12/B11-0.008*(B2/60))+(4-3.5*(B12/B11))*(F2/B6)</f>
        <v>0.93252128576129079</v>
      </c>
    </row>
    <row r="9" spans="1:12" x14ac:dyDescent="0.2">
      <c r="A9" s="9" t="s">
        <v>8</v>
      </c>
      <c r="B9" s="2">
        <v>7</v>
      </c>
      <c r="C9" s="6" t="s">
        <v>13</v>
      </c>
      <c r="E9" s="2" t="s">
        <v>21</v>
      </c>
      <c r="F9" s="3">
        <f>F8 * (B8/B9)</f>
        <v>5978.3723999999993</v>
      </c>
      <c r="G9" s="2" t="s">
        <v>28</v>
      </c>
    </row>
    <row r="10" spans="1:12" x14ac:dyDescent="0.2">
      <c r="A10" s="10" t="s">
        <v>9</v>
      </c>
      <c r="B10" s="2">
        <v>24.4</v>
      </c>
      <c r="C10" s="7" t="s">
        <v>14</v>
      </c>
    </row>
    <row r="11" spans="1:12" x14ac:dyDescent="0.2">
      <c r="A11" s="14" t="s">
        <v>38</v>
      </c>
      <c r="B11" s="2">
        <v>59.6</v>
      </c>
      <c r="C11" s="6" t="s">
        <v>40</v>
      </c>
    </row>
    <row r="12" spans="1:12" x14ac:dyDescent="0.2">
      <c r="A12" s="14" t="s">
        <v>39</v>
      </c>
      <c r="B12" s="2">
        <v>27.5</v>
      </c>
      <c r="C12" s="6" t="s">
        <v>40</v>
      </c>
    </row>
    <row r="13" spans="1:12" x14ac:dyDescent="0.2">
      <c r="A13" t="str">
        <f>"【透析分析依頼】以下のデータに基づき、医学的な考察をお願いします。" &amp; CHAR(10) &amp; CHAR(10) &amp;
"■基本データ" &amp; CHAR(10) &amp;
"透析時間: " &amp; B2 &amp; "min, 除水量: " &amp; B3 &amp; "ml (UFR: " &amp; TEXT(I5,"0.0") &amp; " ml/min)" &amp; CHAR(10) &amp;
"体重: " &amp; B5 &amp; "kg → " &amp; B6 &amp; "kg (Δ" &amp; TEXT(F2,"0.00") &amp; "kg)" &amp; CHAR(10) &amp;
"TP: " &amp; B8 &amp; " → " &amp; B9 &amp; " g/dL" &amp; CHAR(10) &amp;
"Ht(前): " &amp; B10 &amp; "%" &amp; CHAR(10) &amp; CHAR(10) &amp;
"■算出指標" &amp; CHAR(10) &amp;
"1. PWI (Protein-Water Index): " &amp; TEXT(I2,"0.000") &amp; CHAR(10) &amp;
"   (エビデンスPWI &lt;2 除水量に対し循環血漿量が多い状態のためDWを下げる必要がある 2≦ PWI ≦4 DWが適正範囲にある可能性が高い｡ これは体重の1%の除水に対し､ 循環血漿量が2~4%減少することを示し､ 適切なplasma refilling rate (血管内への水分補充速度) が保たれている状態と解釈される｡ PWI &gt;4 除水量に対し循環血漿量が不足している状態のためDWを上げる必要がある.)" &amp; CHAR(10) &amp;
"2. mean Kr (プラズマリフィル係数): " &amp; TEXT(I3,"0.000") &amp; " ml/min/mmHg" &amp; CHAR(10) &amp;"(エビデンス mean Kr&lt;1DWを上げる必要がある.1≦ mean Kr≦4 DWが適正範囲にある可能性が高い. mean Kr&gt;4DWを下げる必要がある.)" &amp; CHAR(10) &amp;
"3. CPV Rate (血漿量減少速度): " &amp; TEXT(I4,"0.00") &amp; " ml/min" &amp; CHAR(10) &amp;
"4. 膠質浸透圧変化(π): " &amp; TEXT(F6,"0.0") &amp; " → " &amp; TEXT(F7,"0.0") &amp; " mmHg" &amp; CHAR(10) &amp; CHAR(10) &amp;
"■依頼事項" &amp; CHAR(10) &amp;
"上記指標（特にPWIとmean Kr）のバランスから、現在の除水設定が患者のプラズマリフィル能力に対して適切か、またはリフィル不全のリスクがあるか分析してください。"</f>
        <v>【透析分析依頼】以下のデータに基づき、医学的な考察をお願いします。
■基本データ
透析時間: 240min, 除水量: 3800ml (UFR: 15.8 ml/min)
体重: 110.6kg → 106.7kg (Δ3.90kg)
TP: 6.5 → 7 g/dL
Ht(前): 24.4%
■算出指標
1. PWI (Protein-Water Index): 2.026
   (エビデンスPWI &lt;2 除水量に対し循環血漿量が多い状態のためDWを下げる必要がある 2≦ PWI ≦4 DWが適正範囲にある可能性が高い｡ これは体重の1%の除水に対し､ 循環血漿量が2~4%減少することを示し､ 適切なplasma refilling rate (血管内への水分補充速度) が保たれている状態と解釈される｡ PWI &gt;4 除水量に対し循環血漿量が不足している状態のためDWを上げる必要がある.)
2. mean Kr (プラズマリフィル係数): 5.069 ml/min/mmHg
(エビデンス mean Kr&lt;1DWを上げる必要がある.1≦ mean Kr≦4 DWが適正範囲にある可能性が高い. mean Kr&gt;4DWを下げる必要がある.)
3. CPV Rate (血漿量減少速度): 1.92 ml/min
4. 膠質浸透圧変化(π): 22.9 → 25.6 mmHg
■依頼事項
上記指標（特にPWIとmean Kr）のバランスから、現在の除水設定が患者のプラズマリフィル能力に対して適切か、またはリフィル不全のリスクがあるか分析してください。</v>
      </c>
    </row>
    <row r="15" spans="1:12" x14ac:dyDescent="0.2">
      <c r="A15" t="str">
        <f>"【透析分析依頼】以下のデータに基づき考察をお願いします。" &amp; CHAR(10) &amp;
"■効率指標" &amp; CHAR(10) &amp;
"Kt/V: " &amp; TEXT(I8,"0.00") &amp; " (目標1.2以上)" &amp; CHAR(10) &amp;
"URR: " &amp; TEXT(I7,"0.0") &amp; "% (目標65%以上)" &amp; CHAR(10) &amp;
"■動態指標" &amp; CHAR(10) &amp;
"PWI: " &amp; TEXT(I2,"0.000") &amp; ", mean Kr: " &amp; TEXT(I3,"0.000") &amp; CHAR(10) &amp;
"■状況" &amp; CHAR(10) &amp;
"BUN: " &amp; B11 &amp; "→" &amp; B12 &amp; ", 除水: " &amp; B3 &amp; "ml" &amp; CHAR(10) &amp; CHAR(10) &amp;
"この患者の透析効率と循環動態のバランスについて分析してください。"</f>
        <v>【透析分析依頼】以下のデータに基づき考察をお願いします。
■効率指標
Kt/V: 0.93 (目標1.2以上)
URR: 53.9% (目標65%以上)
■動態指標
PWI: 2.026, mean Kr: 5.069
■状況
BUN: 59.6→27.5, 除水: 3800ml
この患者の透析効率と循環動態のバランスについて分析してください。</v>
      </c>
      <c r="E15" s="1"/>
    </row>
    <row r="17" spans="1:2" x14ac:dyDescent="0.2">
      <c r="A17" s="42"/>
    </row>
    <row r="18" spans="1:2" x14ac:dyDescent="0.2">
      <c r="A18" s="43"/>
      <c r="B18" s="39"/>
    </row>
    <row r="19" spans="1:2" x14ac:dyDescent="0.2">
      <c r="A19" s="43"/>
      <c r="B19" s="39"/>
    </row>
    <row r="20" spans="1:2" x14ac:dyDescent="0.2">
      <c r="A20" s="42"/>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49964-C340-490D-A769-D7876CE5F4A7}">
  <dimension ref="A1:J30"/>
  <sheetViews>
    <sheetView topLeftCell="C1" workbookViewId="0">
      <selection activeCell="F34" sqref="F34"/>
    </sheetView>
  </sheetViews>
  <sheetFormatPr defaultRowHeight="14.25" x14ac:dyDescent="0.2"/>
  <cols>
    <col min="1" max="1" width="24.1484375" bestFit="1" customWidth="1"/>
    <col min="2" max="2" width="10.54296875" bestFit="1" customWidth="1"/>
    <col min="4" max="4" width="7.4765625" bestFit="1" customWidth="1"/>
    <col min="5" max="5" width="24.76171875" customWidth="1"/>
    <col min="6" max="6" width="7.84375" customWidth="1"/>
    <col min="7" max="7" width="45.84765625" bestFit="1" customWidth="1"/>
    <col min="8" max="8" width="3.796875" customWidth="1"/>
    <col min="9" max="9" width="18.38671875" customWidth="1"/>
    <col min="10" max="11" width="35.91796875" bestFit="1" customWidth="1"/>
  </cols>
  <sheetData>
    <row r="1" spans="1:10" x14ac:dyDescent="0.2">
      <c r="A1" s="15" t="s">
        <v>43</v>
      </c>
      <c r="B1" s="54"/>
      <c r="C1" s="55"/>
      <c r="E1" s="25" t="s">
        <v>59</v>
      </c>
      <c r="F1" s="16"/>
      <c r="G1" s="17"/>
      <c r="I1" s="2" t="s">
        <v>74</v>
      </c>
      <c r="J1" s="2" t="str">
        <f>IF(B4&gt;=1.2, "現状維持可能", IF(F4&lt;0.8, "再循環/回路点検推奨", IF(B6&lt;250, "Qb増量を検討", "膜面積(KoA)増を検討")))</f>
        <v>膜面積(KoA)増を検討</v>
      </c>
    </row>
    <row r="2" spans="1:10" x14ac:dyDescent="0.2">
      <c r="A2" s="18" t="s">
        <v>44</v>
      </c>
      <c r="B2" s="2">
        <f>'除水設定,循環動態管理'!B2</f>
        <v>240</v>
      </c>
      <c r="C2" s="23" t="s">
        <v>55</v>
      </c>
      <c r="E2" s="26" t="s">
        <v>60</v>
      </c>
      <c r="F2" s="37">
        <f>B6 * (EXP(B9/B6 * (1 - B6/B7)) - 1) / (EXP(B9/B6 * (1 - B6/B7)) - B6/B7)</f>
        <v>248.75005297682429</v>
      </c>
      <c r="G2" s="19" t="s">
        <v>67</v>
      </c>
      <c r="I2" s="2" t="s">
        <v>75</v>
      </c>
      <c r="J2" s="2" t="str">
        <f>IF(C27&lt;2,"DWを下げる必要がある",IF(C27&gt;4,"DWを上げる必要がある","適正範囲"))</f>
        <v>適正範囲</v>
      </c>
    </row>
    <row r="3" spans="1:10" x14ac:dyDescent="0.2">
      <c r="A3" s="18" t="s">
        <v>45</v>
      </c>
      <c r="B3" s="2">
        <f>'除水設定,循環動態管理'!B6</f>
        <v>106.7</v>
      </c>
      <c r="C3" s="23" t="s">
        <v>12</v>
      </c>
      <c r="E3" s="26" t="s">
        <v>61</v>
      </c>
      <c r="F3" s="37">
        <f>(B4 * (B3 * 0.6) * 1000) / B2</f>
        <v>248.75005297682432</v>
      </c>
      <c r="G3" s="19" t="s">
        <v>68</v>
      </c>
      <c r="I3" s="2" t="s">
        <v>93</v>
      </c>
      <c r="J3" s="2" t="e">
        <f>IF(F18&gt;15, "【警告】ESA低反応性（透析量不足/鉄欠乏/炎症を評価）", IF(B18&lt;10, "Hgb低下（ESA増量検討）", "貧血管理 良好"))</f>
        <v>#DIV/0!</v>
      </c>
    </row>
    <row r="4" spans="1:10" ht="15" thickBot="1" x14ac:dyDescent="0.25">
      <c r="A4" s="18" t="s">
        <v>46</v>
      </c>
      <c r="B4" s="13">
        <f>'除水設定,循環動態管理'!I8</f>
        <v>0.93252128576129079</v>
      </c>
      <c r="C4" s="23" t="s">
        <v>58</v>
      </c>
      <c r="E4" s="27" t="s">
        <v>62</v>
      </c>
      <c r="F4" s="29">
        <f>F3/F2</f>
        <v>1.0000000000000002</v>
      </c>
      <c r="G4" s="22" t="s">
        <v>69</v>
      </c>
      <c r="I4" s="2" t="s">
        <v>94</v>
      </c>
      <c r="J4" s="32" t="str">
        <f>IF(F19&lt;50, "リン除去不足（KoA増/時間延長の検討）", "リン除去 良好")</f>
        <v>リン除去 良好</v>
      </c>
    </row>
    <row r="5" spans="1:10" ht="15" thickBot="1" x14ac:dyDescent="0.25">
      <c r="A5" s="18" t="s">
        <v>47</v>
      </c>
      <c r="B5" s="56"/>
      <c r="C5" s="57"/>
    </row>
    <row r="6" spans="1:10" x14ac:dyDescent="0.2">
      <c r="A6" s="18" t="s">
        <v>48</v>
      </c>
      <c r="B6" s="2">
        <v>250</v>
      </c>
      <c r="C6" s="23" t="s">
        <v>56</v>
      </c>
      <c r="E6" s="25" t="s">
        <v>63</v>
      </c>
      <c r="F6" s="16"/>
      <c r="G6" s="17"/>
    </row>
    <row r="7" spans="1:10" x14ac:dyDescent="0.2">
      <c r="A7" s="18" t="s">
        <v>49</v>
      </c>
      <c r="B7" s="2">
        <v>500</v>
      </c>
      <c r="C7" s="23" t="s">
        <v>56</v>
      </c>
      <c r="E7" s="26" t="s">
        <v>64</v>
      </c>
      <c r="F7" s="28">
        <f>B11 * (EXP(B13/B11 * (1 - B11/B7)) - 1) / (EXP(B13/B11 * (1 - B11/B7)) - B11/B7)</f>
        <v>294.28947475566508</v>
      </c>
      <c r="G7" s="19" t="s">
        <v>70</v>
      </c>
    </row>
    <row r="8" spans="1:10" x14ac:dyDescent="0.2">
      <c r="A8" s="18" t="s">
        <v>50</v>
      </c>
      <c r="B8" s="2">
        <v>2.1</v>
      </c>
      <c r="C8" s="23" t="s">
        <v>57</v>
      </c>
      <c r="E8" s="26" t="s">
        <v>65</v>
      </c>
      <c r="F8" s="28">
        <f>F7 * F4</f>
        <v>294.28947475566514</v>
      </c>
      <c r="G8" s="19" t="s">
        <v>71</v>
      </c>
    </row>
    <row r="9" spans="1:10" ht="15" thickBot="1" x14ac:dyDescent="0.25">
      <c r="A9" s="18" t="s">
        <v>51</v>
      </c>
      <c r="B9" s="37">
        <f>(B6/(1-B6/B7))*LN((1-F3/B7)/(1-F3/B6))</f>
        <v>2305.0999495018241</v>
      </c>
      <c r="C9" s="23" t="s">
        <v>56</v>
      </c>
      <c r="E9" s="27" t="s">
        <v>66</v>
      </c>
      <c r="F9" s="38">
        <f>(F8 * B12) / ((B3 * 0.6) * 1000)</f>
        <v>1.1032407675938714</v>
      </c>
      <c r="G9" s="22" t="s">
        <v>72</v>
      </c>
    </row>
    <row r="10" spans="1:10" x14ac:dyDescent="0.2">
      <c r="A10" s="18" t="s">
        <v>52</v>
      </c>
      <c r="B10" s="56"/>
      <c r="C10" s="57"/>
    </row>
    <row r="11" spans="1:10" x14ac:dyDescent="0.2">
      <c r="A11" s="18" t="s">
        <v>53</v>
      </c>
      <c r="B11" s="2">
        <v>300</v>
      </c>
      <c r="C11" s="23" t="s">
        <v>56</v>
      </c>
    </row>
    <row r="12" spans="1:10" x14ac:dyDescent="0.2">
      <c r="A12" s="18" t="s">
        <v>98</v>
      </c>
      <c r="B12" s="2">
        <v>240</v>
      </c>
      <c r="C12" s="23" t="s">
        <v>10</v>
      </c>
    </row>
    <row r="13" spans="1:10" x14ac:dyDescent="0.2">
      <c r="A13" s="18" t="s">
        <v>54</v>
      </c>
      <c r="B13" s="2">
        <v>2305</v>
      </c>
      <c r="C13" s="23" t="s">
        <v>56</v>
      </c>
    </row>
    <row r="14" spans="1:10" ht="15" thickBot="1" x14ac:dyDescent="0.25">
      <c r="A14" s="20" t="s">
        <v>99</v>
      </c>
      <c r="B14" s="21">
        <v>2.1</v>
      </c>
      <c r="C14" s="24" t="s">
        <v>100</v>
      </c>
    </row>
    <row r="15" spans="1:10" x14ac:dyDescent="0.2">
      <c r="A15" t="str">
        <f>"【透析処方最適化レポート依頼】" &amp; CHAR(10) &amp;
"以下の計算結果に基づき、透析専門医として最適化案を提示してください。" &amp; CHAR(10) &amp; CHAR(10) &amp;
"■1. Sheet2!現在のステータス" &amp; CHAR(10) &amp;
"・実測Kt/V: " &amp; TEXT(B4,"0.00") &amp; " (目標1.2以上)" &amp; CHAR(10) &amp;
"・実行効率係数: " &amp; TEXT(F4,"0.00") &amp; " (※1.0に近いほど機器性能が発揮されている)" &amp; CHAR(10) &amp;
"・循環動態PWI: " &amp; TEXT(C27,"0.00") &amp; " (※エビデンスPWI &lt;2 除水量に対し循環血漿量が多い状態のためDWを下げる必要がある 2≦ PWI ≦4 DWが適正範囲にある可能性が高い｡ これは体重の1%の除水に対し､ 循環血漿量が2~4%減少することを示し､ 適切なplasma refilling rate (血管内への水分補充速度) が保たれている状態と解釈される｡ PWI &gt;4 除水量に対し循環血漿量が不足している状態のためDWを上げる必要がある.)" &amp; CHAR(10) &amp; CHAR(10) &amp;
"■2. シミュレーション条件" &amp; CHAR(10) &amp;
"・案：Qbを " &amp; B11 &amp; " ml/min、KoAを " &amp; B13 &amp; " に変更" &amp; CHAR(10) &amp;
"・予測Kt/V: " &amp; TEXT(F9,"0.00") &amp; CHAR(10) &amp; CHAR(10) &amp;
"■3. AIへの分析指示" &amp; CHAR(10) &amp;
"① 現在の透析効率（Kt/V）不足の原因は、血流量(Qb)不足、ダイアライザ性能(KoA)不足、透析時間のいずれにある可能性が高いか？" &amp; CHAR(10) &amp;
"② 実行効率係数が低い場合、シャント再循環や膜の目詰まりの可能性についてどう考えるか？" &amp; CHAR(10) &amp;
"③ シミュレーション案を適用した場合、循環動態（PWI）にどのような影響を及ぼすリスクがあるか？" &amp; CHAR(10) &amp;
"④ この患者に最適な『次回の処方変更案（優先順位）』を提示してください。"</f>
        <v>【透析処方最適化レポート依頼】
以下の計算結果に基づき、透析専門医として最適化案を提示してください。
■1. Sheet2!現在のステータス
・実測Kt/V: 0.93 (目標1.2以上)
・実行効率係数: 1.00 (※1.0に近いほど機器性能が発揮されている)
・循環動態PWI: 2.03 (※エビデンスPWI &lt;2 除水量に対し循環血漿量が多い状態のためDWを下げる必要がある 2≦ PWI ≦4 DWが適正範囲にある可能性が高い｡ これは体重の1%の除水に対し､ 循環血漿量が2~4%減少することを示し､ 適切なplasma refilling rate (血管内への水分補充速度) が保たれている状態と解釈される｡ PWI &gt;4 除水量に対し循環血漿量が不足している状態のためDWを上げる必要がある.)
■2. シミュレーション条件
・案：Qbを 300 ml/min、KoAを 2305 に変更
・予測Kt/V: 1.10
■3. AIへの分析指示
① 現在の透析効率（Kt/V）不足の原因は、血流量(Qb)不足、ダイアライザ性能(KoA)不足、透析時間のいずれにある可能性が高いか？
② 実行効率係数が低い場合、シャント再循環や膜の目詰まりの可能性についてどう考えるか？
③ シミュレーション案を適用した場合、循環動態（PWI）にどのような影響を及ぼすリスクがあるか？
④ この患者に最適な『次回の処方変更案（優先順位）』を提示してください。</v>
      </c>
    </row>
    <row r="16" spans="1:10" ht="15" thickBot="1" x14ac:dyDescent="0.25">
      <c r="A16" t="str">
        <f>"【透析処方シミュレーション・コンサルテーション】" &amp; CHAR(10) &amp;
"透析専門医として、以下のシミュレーション結果に対する見解と最適なアプローチを提案してください。" &amp; CHAR(10) &amp; CHAR(10) &amp;
"■ 現在の状況" &amp; CHAR(10) &amp;
"・実測Kt/V: " &amp; TEXT(B4,"0.00") &amp; " (目標1.2以上)" &amp; CHAR(10) &amp;
"・現在の処方: 時間 " &amp; B2&amp; "分, Qb " &amp; B6 &amp; "ml/min, 膜面積 " &amp; B8 &amp; "㎡ (KoA " &amp; B9 &amp; ")" &amp; CHAR(10) &amp;
"・実効効率係数: " &amp; TEXT(F4,"0.00") &amp; " (※1.0から離れるほど再循環等のロスあり)" &amp; CHAR(10) &amp; CHAR(10) &amp;
"■ シミュレーション案" &amp; CHAR(10) &amp;
"以下の処方に変更した場合の予測値です。" &amp; CHAR(10) &amp;
"・変更後: 時間 " &amp; B12 &amp; "分, Qb " &amp;B11&amp; "ml/min, 膜面積 " &amp; B14 &amp; "㎡ (KoA " &amp; B13 &amp; ")" &amp; CHAR(10) &amp;
"・予測Kt/V: " &amp; TEXT(F9,"0.00") &amp; CHAR(10) &amp; CHAR(10) &amp;
"■ 依頼事項" &amp; CHAR(10) &amp;
"1. 今回のKt/V改善において、「時間延長」「血流量(Qb)増加」「ダイアライザ(KoA)のスケールアップ」のうち、どれが最も理論的な効果が高いと推測されますか？" &amp; CHAR(10) &amp;
"2. 心機能や血行動態（除水負担）を考慮した場合、実臨床ではどの変数を優先して変更すべきか、専門的な見地からアドバイスをお願いします。"</f>
        <v>【透析処方シミュレーション・コンサルテーション】
透析専門医として、以下のシミュレーション結果に対する見解と最適なアプローチを提案してください。
■ 現在の状況
・実測Kt/V: 0.93 (目標1.2以上)
・現在の処方: 時間 240分, Qb 250ml/min, 膜面積 2.1㎡ (KoA 2305.09994950182)
・実効効率係数: 1.00 (※1.0から離れるほど再循環等のロスあり)
■ シミュレーション案
以下の処方に変更した場合の予測値です。
・変更後: 時間 240分, Qb 300ml/min, 膜面積 2.1㎡ (KoA 2305)
・予測Kt/V: 1.10
■ 依頼事項
1. 今回のKt/V改善において、「時間延長」「血流量(Qb)増加」「ダイアライザ(KoA)のスケールアップ」のうち、どれが最も理論的な効果が高いと推測されますか？
2. 心機能や血行動態（除水負担）を考慮した場合、実臨床ではどの変数を優先して変更すべきか、専門的な見地からアドバイスをお願いします。</v>
      </c>
    </row>
    <row r="17" spans="1:7" x14ac:dyDescent="0.2">
      <c r="A17" s="25" t="s">
        <v>76</v>
      </c>
      <c r="B17" s="58"/>
      <c r="C17" s="59"/>
      <c r="E17" s="25" t="s">
        <v>86</v>
      </c>
      <c r="F17" s="17"/>
    </row>
    <row r="18" spans="1:7" x14ac:dyDescent="0.2">
      <c r="A18" s="26" t="s">
        <v>77</v>
      </c>
      <c r="B18" s="6">
        <v>8.1</v>
      </c>
      <c r="C18" s="19" t="s">
        <v>13</v>
      </c>
      <c r="E18" s="26" t="s">
        <v>87</v>
      </c>
      <c r="F18" s="33" t="e">
        <f>B19 / B5 / B18</f>
        <v>#DIV/0!</v>
      </c>
      <c r="G18" t="s">
        <v>90</v>
      </c>
    </row>
    <row r="19" spans="1:7" x14ac:dyDescent="0.2">
      <c r="A19" s="26" t="s">
        <v>78</v>
      </c>
      <c r="B19" s="6"/>
      <c r="C19" s="19" t="s">
        <v>84</v>
      </c>
      <c r="E19" s="26" t="s">
        <v>88</v>
      </c>
      <c r="F19" s="34">
        <f>((B21-B22)/B21)*100</f>
        <v>54.237288135593218</v>
      </c>
      <c r="G19" t="s">
        <v>91</v>
      </c>
    </row>
    <row r="20" spans="1:7" ht="15" thickBot="1" x14ac:dyDescent="0.25">
      <c r="A20" s="26" t="s">
        <v>79</v>
      </c>
      <c r="B20" s="60"/>
      <c r="C20" s="61"/>
      <c r="E20" s="27" t="s">
        <v>89</v>
      </c>
      <c r="F20" s="35">
        <f>((B23-B24)/B23)*100</f>
        <v>33.333333333333336</v>
      </c>
      <c r="G20" t="s">
        <v>92</v>
      </c>
    </row>
    <row r="21" spans="1:7" x14ac:dyDescent="0.2">
      <c r="A21" s="26" t="s">
        <v>80</v>
      </c>
      <c r="B21" s="6">
        <v>5.9</v>
      </c>
      <c r="C21" s="19" t="s">
        <v>40</v>
      </c>
    </row>
    <row r="22" spans="1:7" x14ac:dyDescent="0.2">
      <c r="A22" s="26" t="s">
        <v>81</v>
      </c>
      <c r="B22" s="6">
        <v>2.7</v>
      </c>
      <c r="C22" s="19" t="s">
        <v>40</v>
      </c>
    </row>
    <row r="23" spans="1:7" x14ac:dyDescent="0.2">
      <c r="A23" s="26" t="s">
        <v>82</v>
      </c>
      <c r="B23" s="6">
        <v>5.4</v>
      </c>
      <c r="C23" s="19" t="s">
        <v>85</v>
      </c>
    </row>
    <row r="24" spans="1:7" ht="15" thickBot="1" x14ac:dyDescent="0.25">
      <c r="A24" s="27" t="s">
        <v>83</v>
      </c>
      <c r="B24" s="31">
        <v>3.6</v>
      </c>
      <c r="C24" s="22" t="s">
        <v>85</v>
      </c>
    </row>
    <row r="26" spans="1:7" x14ac:dyDescent="0.2">
      <c r="A26" t="e">
        <f>"【透析総合カンファレンス 評価依頼】" &amp; CHAR(10) &amp; "以下の5ドメインのデータから、患者の現在の状態と処方変更の最適解を専門医レベルで考察してください。" &amp; CHAR(10) &amp; CHAR(10) &amp; "■1. 透析効率・機器性能" &amp; CHAR(10) &amp; "Kt/V: " &amp; TEXT(F3,"0.00") &amp; " / 実行効率係数: " &amp; TEXT(F4,"0.00") &amp; CHAR(10) &amp; "現在の血流量(Qb): " &amp; B6 &amp; "ml/min, ダイアライザKoA: " &amp; B9 &amp; CHAR(10) &amp; CHAR(10) &amp; "■2. 循環動態（プラズマリフィル）" &amp; CHAR(10) &amp; "PWI: " &amp; TEXT(C27,"0.00") &amp; " / mean Kr: " &amp; TEXT(C28,"0.000") &amp; CHAR(10) &amp; "除水速度: " &amp; TEXT(C29,"0.0") &amp; " ml/min" &amp; CHAR(10) &amp; CHAR(10) &amp; "■3. 貧血管理" &amp; CHAR(10) &amp; "Hgb: " &amp; B18 &amp; " g/dL / ESA投与量: " &amp; B19 &amp; " IU/week" &amp; CHAR(10) &amp; "ERI (ESA抵抗性指数): " &amp; TEXT(F18,"0.0") &amp; CHAR(10) &amp; CHAR(10) &amp; "■4. 電解質・物質除去" &amp; CHAR(10) &amp; "P除去率: " &amp; TEXT(F19,"0.0") &amp; "% (前 " &amp; B21 &amp; " → 後 " &amp; B22 &amp; ")" &amp; CHAR(10) &amp; "K除去率: " &amp; TEXT(F20,"0.0") &amp; "%" &amp; CHAR(10) &amp; CHAR(10) &amp; "■依頼事項" &amp; CHAR(10) &amp; "1. 【総合評価】Kt/V、ERI、P除去率のバランスから、現在の透析量は質量ともに十分ですか？（※Kt/Vは足りていても中分子/リン除去が不足していないか等）" &amp; CHAR(10) &amp; "2. 【処方提案】血流量(Qb)アップ、ダイアライザの膜面積(KoA)拡大、透析時間の延長のうち、この患者のデータ（特にPWI等の循環動態負担を考慮）から最も安全で効果的な一手はどれですか？理由とともに提案してください。"</f>
        <v>#DIV/0!</v>
      </c>
    </row>
    <row r="27" spans="1:7" x14ac:dyDescent="0.2">
      <c r="B27" s="39" t="s">
        <v>73</v>
      </c>
      <c r="C27" s="30">
        <f>'除水設定,循環動態管理'!I2</f>
        <v>2.0256410256410291</v>
      </c>
    </row>
    <row r="28" spans="1:7" x14ac:dyDescent="0.2">
      <c r="B28" s="39" t="s">
        <v>95</v>
      </c>
      <c r="C28" s="30">
        <f>'除水設定,循環動態管理'!I3</f>
        <v>5.0693214345338395</v>
      </c>
    </row>
    <row r="29" spans="1:7" x14ac:dyDescent="0.2">
      <c r="B29" s="40" t="s">
        <v>96</v>
      </c>
      <c r="C29" s="30">
        <f>'除水設定,循環動態管理'!F5</f>
        <v>15.833333333333334</v>
      </c>
      <c r="D29" t="s">
        <v>25</v>
      </c>
    </row>
    <row r="30" spans="1:7" x14ac:dyDescent="0.2">
      <c r="B30" s="39" t="s">
        <v>97</v>
      </c>
      <c r="C30" s="36">
        <f>F3</f>
        <v>248.75005297682432</v>
      </c>
      <c r="D30" t="s">
        <v>25</v>
      </c>
    </row>
  </sheetData>
  <mergeCells count="5">
    <mergeCell ref="B1:C1"/>
    <mergeCell ref="B5:C5"/>
    <mergeCell ref="B10:C10"/>
    <mergeCell ref="B17:C17"/>
    <mergeCell ref="B20:C20"/>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5FEC-4B81-4A9C-8F99-E747C0ABAD88}">
  <dimension ref="A1:E3"/>
  <sheetViews>
    <sheetView workbookViewId="0">
      <selection activeCell="D19" sqref="D19"/>
    </sheetView>
  </sheetViews>
  <sheetFormatPr defaultRowHeight="14.25" x14ac:dyDescent="0.2"/>
  <cols>
    <col min="1" max="2" width="10.171875" bestFit="1" customWidth="1"/>
    <col min="4" max="5" width="10.171875" bestFit="1" customWidth="1"/>
  </cols>
  <sheetData>
    <row r="1" spans="1:5" x14ac:dyDescent="0.2">
      <c r="A1" s="44" t="s">
        <v>102</v>
      </c>
      <c r="B1" s="45" t="s">
        <v>30</v>
      </c>
      <c r="D1" s="44" t="s">
        <v>102</v>
      </c>
      <c r="E1" s="45" t="s">
        <v>103</v>
      </c>
    </row>
    <row r="2" spans="1:5" x14ac:dyDescent="0.2">
      <c r="A2" s="46">
        <v>46071</v>
      </c>
      <c r="B2" s="47">
        <v>3.8</v>
      </c>
      <c r="D2" s="46">
        <v>46099</v>
      </c>
      <c r="E2" s="47">
        <f>'除水設定,循環動態管理'!I3</f>
        <v>5.0693214345338395</v>
      </c>
    </row>
    <row r="3" spans="1:5" x14ac:dyDescent="0.2">
      <c r="A3" s="46">
        <v>46099</v>
      </c>
      <c r="B3" s="48">
        <v>2</v>
      </c>
    </row>
  </sheetData>
  <phoneticPr fontId="1"/>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76194-19A3-4CBA-917D-3353F4448325}">
  <dimension ref="A1:G32"/>
  <sheetViews>
    <sheetView workbookViewId="0">
      <selection activeCell="A34" sqref="A34"/>
    </sheetView>
  </sheetViews>
  <sheetFormatPr defaultRowHeight="14.25" x14ac:dyDescent="0.2"/>
  <cols>
    <col min="1" max="1" width="27.3359375" bestFit="1" customWidth="1"/>
    <col min="2" max="2" width="9.4375" customWidth="1"/>
    <col min="3" max="3" width="7.84375" bestFit="1" customWidth="1"/>
    <col min="4" max="4" width="20.59375" bestFit="1" customWidth="1"/>
    <col min="5" max="5" width="46.828125" bestFit="1" customWidth="1"/>
    <col min="6" max="6" width="4.53515625" customWidth="1"/>
    <col min="7" max="7" width="55.2890625" customWidth="1"/>
  </cols>
  <sheetData>
    <row r="1" spans="1:7" x14ac:dyDescent="0.2">
      <c r="A1" s="8" t="s">
        <v>115</v>
      </c>
    </row>
    <row r="2" spans="1:7" x14ac:dyDescent="0.2">
      <c r="A2" s="2" t="s">
        <v>104</v>
      </c>
      <c r="B2" s="2">
        <v>38</v>
      </c>
      <c r="C2" s="49" t="s">
        <v>108</v>
      </c>
      <c r="D2" s="2" t="s">
        <v>105</v>
      </c>
      <c r="E2" s="2" t="str">
        <f>IF(B2&lt;40, "HFrEF", IF(B2&lt;50, "HFmrEF", "HFpEF"))</f>
        <v>HFrEF</v>
      </c>
      <c r="G2" s="2" t="s">
        <v>109</v>
      </c>
    </row>
    <row r="3" spans="1:7" x14ac:dyDescent="0.2">
      <c r="A3" s="2" t="s">
        <v>112</v>
      </c>
      <c r="B3" s="2"/>
      <c r="C3" s="49" t="s">
        <v>114</v>
      </c>
      <c r="D3" s="2" t="s">
        <v>106</v>
      </c>
      <c r="E3" s="2" t="str">
        <f>IF(B2&lt;40, "収縮能の低下した心不全", IF(B2&lt;50, "軽度低下した心不全", "収縮能の保持された心不全"))</f>
        <v>収縮能の低下した心不全</v>
      </c>
      <c r="G3" s="2" t="s">
        <v>110</v>
      </c>
    </row>
    <row r="4" spans="1:7" x14ac:dyDescent="0.2">
      <c r="D4" s="2" t="s">
        <v>107</v>
      </c>
      <c r="E4" s="32" t="str">
        <f>IF(B2&lt;40, "Fantastic Four (ARNI/ACEi/ARB, β遮断薬, MRA, SGLT2i)", IF(B2&lt;50, "SGLT2i推奨、その他HFrEFに準じた薬物療法", "SGLT2i、利尿薬、併存症（HT, AF）の管理"))</f>
        <v>Fantastic Four (ARNI/ACEi/ARB, β遮断薬, MRA, SGLT2i)</v>
      </c>
      <c r="G4" s="2" t="s">
        <v>111</v>
      </c>
    </row>
    <row r="5" spans="1:7" x14ac:dyDescent="0.2">
      <c r="D5" s="2" t="s">
        <v>113</v>
      </c>
      <c r="E5" s="2" t="str">
        <f>IF(B2&lt;40,"低下",IF(B2&lt;50,"軽度低下","保持"))</f>
        <v>低下</v>
      </c>
    </row>
    <row r="7" spans="1:7" x14ac:dyDescent="0.2">
      <c r="A7" s="8" t="s">
        <v>116</v>
      </c>
      <c r="B7" s="52" t="s">
        <v>138</v>
      </c>
      <c r="C7" s="52" t="s">
        <v>156</v>
      </c>
      <c r="D7" s="50" t="s">
        <v>145</v>
      </c>
      <c r="E7" s="2" t="s">
        <v>140</v>
      </c>
      <c r="F7" s="2" t="s">
        <v>139</v>
      </c>
    </row>
    <row r="8" spans="1:7" x14ac:dyDescent="0.2">
      <c r="A8" s="2" t="s">
        <v>122</v>
      </c>
      <c r="B8" s="6" t="s">
        <v>118</v>
      </c>
      <c r="C8" s="2"/>
      <c r="D8" s="50" t="s">
        <v>146</v>
      </c>
      <c r="E8" s="2" t="s">
        <v>141</v>
      </c>
      <c r="F8" s="2" t="s">
        <v>149</v>
      </c>
    </row>
    <row r="9" spans="1:7" x14ac:dyDescent="0.2">
      <c r="A9" s="2" t="s">
        <v>123</v>
      </c>
      <c r="B9" s="6" t="s">
        <v>118</v>
      </c>
      <c r="C9" s="2"/>
      <c r="D9" s="50" t="s">
        <v>147</v>
      </c>
      <c r="E9" s="2" t="s">
        <v>143</v>
      </c>
      <c r="F9" s="2" t="s">
        <v>150</v>
      </c>
    </row>
    <row r="10" spans="1:7" x14ac:dyDescent="0.2">
      <c r="A10" s="2" t="s">
        <v>124</v>
      </c>
      <c r="B10" s="6" t="s">
        <v>118</v>
      </c>
      <c r="C10" s="2"/>
      <c r="D10" s="50" t="s">
        <v>148</v>
      </c>
      <c r="E10" s="2" t="s">
        <v>144</v>
      </c>
      <c r="F10" s="2" t="s">
        <v>142</v>
      </c>
    </row>
    <row r="11" spans="1:7" x14ac:dyDescent="0.2">
      <c r="A11" s="2" t="s">
        <v>125</v>
      </c>
      <c r="B11" s="6" t="s">
        <v>118</v>
      </c>
      <c r="C11" s="2"/>
    </row>
    <row r="12" spans="1:7" x14ac:dyDescent="0.2">
      <c r="A12" s="2" t="s">
        <v>126</v>
      </c>
      <c r="B12" s="6" t="s">
        <v>118</v>
      </c>
      <c r="C12" s="2"/>
    </row>
    <row r="13" spans="1:7" x14ac:dyDescent="0.2">
      <c r="A13" s="2" t="s">
        <v>127</v>
      </c>
      <c r="B13" s="6" t="s">
        <v>118</v>
      </c>
      <c r="C13" s="2"/>
    </row>
    <row r="14" spans="1:7" x14ac:dyDescent="0.2">
      <c r="A14" s="2" t="s">
        <v>128</v>
      </c>
      <c r="B14" s="6" t="s">
        <v>119</v>
      </c>
      <c r="C14" s="2"/>
    </row>
    <row r="15" spans="1:7" ht="15" x14ac:dyDescent="0.2">
      <c r="A15" s="51" t="s">
        <v>129</v>
      </c>
      <c r="B15" s="6" t="s">
        <v>119</v>
      </c>
      <c r="C15" s="2"/>
    </row>
    <row r="16" spans="1:7" x14ac:dyDescent="0.2">
      <c r="A16" s="2" t="s">
        <v>130</v>
      </c>
      <c r="B16" s="6" t="s">
        <v>119</v>
      </c>
      <c r="C16" s="2"/>
    </row>
    <row r="17" spans="1:4" x14ac:dyDescent="0.2">
      <c r="A17" s="2" t="s">
        <v>131</v>
      </c>
      <c r="B17" s="6" t="s">
        <v>119</v>
      </c>
      <c r="C17" s="2"/>
    </row>
    <row r="18" spans="1:4" x14ac:dyDescent="0.2">
      <c r="A18" s="2" t="s">
        <v>132</v>
      </c>
      <c r="B18" s="6" t="s">
        <v>119</v>
      </c>
      <c r="C18" s="2"/>
    </row>
    <row r="19" spans="1:4" x14ac:dyDescent="0.2">
      <c r="A19" s="2" t="s">
        <v>133</v>
      </c>
      <c r="B19" s="6" t="s">
        <v>120</v>
      </c>
      <c r="C19" s="2"/>
    </row>
    <row r="20" spans="1:4" x14ac:dyDescent="0.2">
      <c r="A20" s="2" t="s">
        <v>134</v>
      </c>
      <c r="B20" s="6" t="s">
        <v>120</v>
      </c>
      <c r="C20" s="2"/>
    </row>
    <row r="21" spans="1:4" x14ac:dyDescent="0.2">
      <c r="A21" s="2" t="s">
        <v>135</v>
      </c>
      <c r="B21" s="6" t="s">
        <v>120</v>
      </c>
      <c r="C21" s="2"/>
    </row>
    <row r="22" spans="1:4" x14ac:dyDescent="0.2">
      <c r="A22" s="2" t="s">
        <v>136</v>
      </c>
      <c r="B22" s="6" t="s">
        <v>120</v>
      </c>
      <c r="C22" s="2"/>
    </row>
    <row r="23" spans="1:4" x14ac:dyDescent="0.2">
      <c r="A23" s="2" t="s">
        <v>137</v>
      </c>
      <c r="B23" s="6" t="s">
        <v>120</v>
      </c>
      <c r="C23" s="2"/>
    </row>
    <row r="24" spans="1:4" x14ac:dyDescent="0.2">
      <c r="A24" s="8" t="s">
        <v>117</v>
      </c>
      <c r="B24" s="6" t="s">
        <v>121</v>
      </c>
      <c r="C24" s="2" t="e">
        <f>AVERAGE(C8:C23)</f>
        <v>#DIV/0!</v>
      </c>
    </row>
    <row r="25" spans="1:4" x14ac:dyDescent="0.2">
      <c r="D25" t="s">
        <v>157</v>
      </c>
    </row>
    <row r="26" spans="1:4" x14ac:dyDescent="0.2">
      <c r="A26" s="2" t="s">
        <v>151</v>
      </c>
      <c r="B26" s="53" t="s">
        <v>163</v>
      </c>
      <c r="D26" t="s">
        <v>158</v>
      </c>
    </row>
    <row r="27" spans="1:4" x14ac:dyDescent="0.2">
      <c r="A27" s="2" t="s">
        <v>152</v>
      </c>
      <c r="B27" s="2"/>
      <c r="D27" t="s">
        <v>159</v>
      </c>
    </row>
    <row r="28" spans="1:4" x14ac:dyDescent="0.2">
      <c r="A28" s="2" t="s">
        <v>153</v>
      </c>
      <c r="B28" s="2"/>
      <c r="D28" t="s">
        <v>160</v>
      </c>
    </row>
    <row r="29" spans="1:4" x14ac:dyDescent="0.2">
      <c r="A29" s="2" t="s">
        <v>154</v>
      </c>
      <c r="B29" s="2"/>
      <c r="D29" t="s">
        <v>161</v>
      </c>
    </row>
    <row r="30" spans="1:4" x14ac:dyDescent="0.2">
      <c r="A30" s="2" t="s">
        <v>155</v>
      </c>
      <c r="B30" s="2"/>
      <c r="D30" t="s">
        <v>162</v>
      </c>
    </row>
    <row r="32" spans="1:4" x14ac:dyDescent="0.2">
      <c r="A32" t="e">
        <f>"【解析結果】 " &amp; E2&amp; " (" &amp;E5&amp; ") です。" &amp;
IF(C24&gt;1.2, "特定の壁運動異常(RWMA)を認め、WMSIは " &amp; TEXT(C24,"0.00") &amp; " と上昇しており虚血性変化が疑われます。", "明らかなRWMAは認めず、全周性の病態が疑われます。") &amp;
IF(B3&gt;=55, " LVDdが " &amp; B3 &amp; "mm と拡大しており、左室リモデリングの進行が示唆されます。", " LVDdは許容範囲内です。") &amp;
IF(COUNTIF(B27:B30,"Severe")&gt;0, " また、Severeな弁膜症を認めるため、心不全の主要因または増悪因子として考慮が必要です。", "")</f>
        <v>#DIV/0!</v>
      </c>
    </row>
  </sheetData>
  <phoneticPr fontId="1"/>
  <conditionalFormatting sqref="E2">
    <cfRule type="cellIs" dxfId="2" priority="1" operator="equal">
      <formula>"HFpEF"</formula>
    </cfRule>
    <cfRule type="cellIs" dxfId="1" priority="2" operator="equal">
      <formula>"HFmrEF"</formula>
    </cfRule>
    <cfRule type="cellIs" dxfId="0" priority="3" operator="equal">
      <formula>"HFrEF"</formula>
    </cfRule>
  </conditionalFormatting>
  <dataValidations count="3">
    <dataValidation type="whole" allowBlank="1" showInputMessage="1" showErrorMessage="1" sqref="B2" xr:uid="{8A54B17B-3FFF-4F05-A274-00535DA0A3D9}">
      <formula1>0</formula1>
      <formula2>100</formula2>
    </dataValidation>
    <dataValidation type="list" allowBlank="1" showInputMessage="1" showErrorMessage="1" sqref="C8:C23" xr:uid="{D0FE1842-4012-420C-8D3A-873F6DB3FF90}">
      <formula1>$F$7:$F$10</formula1>
    </dataValidation>
    <dataValidation type="list" allowBlank="1" showInputMessage="1" showErrorMessage="1" sqref="B27:B30" xr:uid="{0A1A0D85-8E91-4A69-92DC-15E5B45BF327}">
      <formula1>$D$26:$D$30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ワークシート</vt:lpstr>
      </vt:variant>
      <vt:variant>
        <vt:i4>4</vt:i4>
      </vt:variant>
    </vt:vector>
  </HeadingPairs>
  <TitlesOfParts>
    <vt:vector size="4" baseType="lpstr">
      <vt:lpstr>除水設定,循環動態管理</vt:lpstr>
      <vt:lpstr>透析効率,貧血管理</vt:lpstr>
      <vt:lpstr>PWI.Krグラフ</vt:lpstr>
      <vt:lpstr>心不全管理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裕貴 田代</dc:creator>
  <cp:lastModifiedBy>裕貴 田代</cp:lastModifiedBy>
  <dcterms:created xsi:type="dcterms:W3CDTF">2026-02-19T11:54:54Z</dcterms:created>
  <dcterms:modified xsi:type="dcterms:W3CDTF">2026-03-23T02:39:29Z</dcterms:modified>
</cp:coreProperties>
</file>